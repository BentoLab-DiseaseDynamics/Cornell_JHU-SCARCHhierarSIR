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wa27/Documents/github/FluSight/Cornell_JHU-SCARCHhierarSIR/scripts/hyperoptimisation/"/>
    </mc:Choice>
  </mc:AlternateContent>
  <xr:revisionPtr revIDLastSave="0" documentId="13_ncr:1_{3668F207-02D4-8C49-9AEF-8843F31ED720}" xr6:coauthVersionLast="47" xr6:coauthVersionMax="47" xr10:uidLastSave="{00000000-0000-0000-0000-000000000000}"/>
  <bookViews>
    <workbookView xWindow="980" yWindow="880" windowWidth="28040" windowHeight="16240" xr2:uid="{2A525A24-CBD9-4142-97B4-C9C09D6577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/>
</calcChain>
</file>

<file path=xl/sharedStrings.xml><?xml version="1.0" encoding="utf-8"?>
<sst xmlns="http://schemas.openxmlformats.org/spreadsheetml/2006/main" count="12" uniqueCount="11">
  <si>
    <t>phi</t>
  </si>
  <si>
    <t>MAE</t>
  </si>
  <si>
    <t>WIS</t>
  </si>
  <si>
    <t>log_WIS</t>
  </si>
  <si>
    <t>phi = 0.25</t>
  </si>
  <si>
    <t>phi = 0.50</t>
  </si>
  <si>
    <t>phi = 0.75</t>
  </si>
  <si>
    <t>%</t>
  </si>
  <si>
    <t>reduction</t>
  </si>
  <si>
    <t>Examples of artificially inflating noise with a GRW on the SIR model output:</t>
  </si>
  <si>
    <t>sigma_grw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</si>
</sst>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MAE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Sheet1!$A$2:$A$6</c:f>
              <c:numCache>
                <c:formatCode>General</c:formatCode>
                <c:ptCount val="5"/>
                <c:pt idx="0">
                  <c:v>0.25</c:v>
                </c:pt>
                <c:pt idx="1">
                  <c:v>0.375</c:v>
                </c:pt>
                <c:pt idx="2">
                  <c:v>0.5</c:v>
                </c:pt>
                <c:pt idx="3">
                  <c:v>0.625</c:v>
                </c:pt>
                <c:pt idx="4">
                  <c:v>0.75</c:v>
                </c:pt>
              </c:numCache>
            </c:numRef>
          </c:xVal>
          <c:yVal>
            <c:numRef>
              <c:f>Sheet1!$B$2:$B$6</c:f>
              <c:numCache>
                <c:formatCode>General</c:formatCode>
                <c:ptCount val="5"/>
                <c:pt idx="0">
                  <c:v>55.93</c:v>
                </c:pt>
                <c:pt idx="1">
                  <c:v>55.32</c:v>
                </c:pt>
                <c:pt idx="2">
                  <c:v>54.11</c:v>
                </c:pt>
                <c:pt idx="3">
                  <c:v>55.52</c:v>
                </c:pt>
                <c:pt idx="4">
                  <c:v>58.85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67-D243-A498-A4C309719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4700159"/>
        <c:axId val="804705983"/>
      </c:scatterChart>
      <c:valAx>
        <c:axId val="804700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705983"/>
        <c:crosses val="autoZero"/>
        <c:crossBetween val="midCat"/>
      </c:valAx>
      <c:valAx>
        <c:axId val="804705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7001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WIS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Sheet1!$A$2:$A$6</c:f>
              <c:numCache>
                <c:formatCode>General</c:formatCode>
                <c:ptCount val="5"/>
                <c:pt idx="0">
                  <c:v>0.25</c:v>
                </c:pt>
                <c:pt idx="1">
                  <c:v>0.375</c:v>
                </c:pt>
                <c:pt idx="2">
                  <c:v>0.5</c:v>
                </c:pt>
                <c:pt idx="3">
                  <c:v>0.625</c:v>
                </c:pt>
                <c:pt idx="4">
                  <c:v>0.75</c:v>
                </c:pt>
              </c:numCache>
            </c:numRef>
          </c:xVal>
          <c:yVal>
            <c:numRef>
              <c:f>Sheet1!$C$2:$C$6</c:f>
              <c:numCache>
                <c:formatCode>General</c:formatCode>
                <c:ptCount val="5"/>
                <c:pt idx="0">
                  <c:v>38.67</c:v>
                </c:pt>
                <c:pt idx="1">
                  <c:v>37.799999999999997</c:v>
                </c:pt>
                <c:pt idx="2">
                  <c:v>36.020000000000003</c:v>
                </c:pt>
                <c:pt idx="3">
                  <c:v>37.31</c:v>
                </c:pt>
                <c:pt idx="4">
                  <c:v>39.31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DD-764C-8CD4-79D979D7BF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3993407"/>
        <c:axId val="953993855"/>
      </c:scatterChart>
      <c:valAx>
        <c:axId val="953993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993855"/>
        <c:crosses val="autoZero"/>
        <c:crossBetween val="midCat"/>
      </c:valAx>
      <c:valAx>
        <c:axId val="95399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993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log WIS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Sheet1!$A$2:$A$6</c:f>
              <c:numCache>
                <c:formatCode>General</c:formatCode>
                <c:ptCount val="5"/>
                <c:pt idx="0">
                  <c:v>0.25</c:v>
                </c:pt>
                <c:pt idx="1">
                  <c:v>0.375</c:v>
                </c:pt>
                <c:pt idx="2">
                  <c:v>0.5</c:v>
                </c:pt>
                <c:pt idx="3">
                  <c:v>0.625</c:v>
                </c:pt>
                <c:pt idx="4">
                  <c:v>0.75</c:v>
                </c:pt>
              </c:numCache>
            </c:numRef>
          </c:xVal>
          <c:yVal>
            <c:numRef>
              <c:f>Sheet1!$D$2:$D$6</c:f>
              <c:numCache>
                <c:formatCode>General</c:formatCode>
                <c:ptCount val="5"/>
                <c:pt idx="0">
                  <c:v>0.20382500000000001</c:v>
                </c:pt>
                <c:pt idx="1">
                  <c:v>0.20455499999999999</c:v>
                </c:pt>
                <c:pt idx="2">
                  <c:v>0.20483499999999999</c:v>
                </c:pt>
                <c:pt idx="3">
                  <c:v>0.20890300000000001</c:v>
                </c:pt>
                <c:pt idx="4">
                  <c:v>0.21549199999999999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2ED-4947-83CB-1391418302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3198655"/>
        <c:axId val="953200447"/>
      </c:scatterChart>
      <c:valAx>
        <c:axId val="953198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200447"/>
        <c:crosses val="autoZero"/>
        <c:crossBetween val="midCat"/>
      </c:valAx>
      <c:valAx>
        <c:axId val="95320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198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emf"/><Relationship Id="rId13" Type="http://schemas.openxmlformats.org/officeDocument/2006/relationships/image" Target="../media/image10.emf"/><Relationship Id="rId18" Type="http://schemas.openxmlformats.org/officeDocument/2006/relationships/image" Target="../media/image15.emf"/><Relationship Id="rId3" Type="http://schemas.openxmlformats.org/officeDocument/2006/relationships/chart" Target="../charts/chart3.xml"/><Relationship Id="rId21" Type="http://schemas.openxmlformats.org/officeDocument/2006/relationships/image" Target="../media/image18.emf"/><Relationship Id="rId7" Type="http://schemas.openxmlformats.org/officeDocument/2006/relationships/image" Target="../media/image4.emf"/><Relationship Id="rId12" Type="http://schemas.openxmlformats.org/officeDocument/2006/relationships/image" Target="../media/image9.emf"/><Relationship Id="rId17" Type="http://schemas.openxmlformats.org/officeDocument/2006/relationships/image" Target="../media/image14.emf"/><Relationship Id="rId25" Type="http://schemas.openxmlformats.org/officeDocument/2006/relationships/image" Target="../media/image22.emf"/><Relationship Id="rId2" Type="http://schemas.openxmlformats.org/officeDocument/2006/relationships/chart" Target="../charts/chart2.xml"/><Relationship Id="rId16" Type="http://schemas.openxmlformats.org/officeDocument/2006/relationships/image" Target="../media/image13.emf"/><Relationship Id="rId20" Type="http://schemas.openxmlformats.org/officeDocument/2006/relationships/image" Target="../media/image17.emf"/><Relationship Id="rId1" Type="http://schemas.openxmlformats.org/officeDocument/2006/relationships/chart" Target="../charts/chart1.xml"/><Relationship Id="rId6" Type="http://schemas.openxmlformats.org/officeDocument/2006/relationships/image" Target="../media/image3.emf"/><Relationship Id="rId11" Type="http://schemas.openxmlformats.org/officeDocument/2006/relationships/image" Target="../media/image8.emf"/><Relationship Id="rId24" Type="http://schemas.openxmlformats.org/officeDocument/2006/relationships/image" Target="../media/image21.emf"/><Relationship Id="rId5" Type="http://schemas.openxmlformats.org/officeDocument/2006/relationships/image" Target="../media/image2.emf"/><Relationship Id="rId15" Type="http://schemas.openxmlformats.org/officeDocument/2006/relationships/image" Target="../media/image12.emf"/><Relationship Id="rId23" Type="http://schemas.openxmlformats.org/officeDocument/2006/relationships/image" Target="../media/image20.emf"/><Relationship Id="rId10" Type="http://schemas.openxmlformats.org/officeDocument/2006/relationships/image" Target="../media/image7.emf"/><Relationship Id="rId19" Type="http://schemas.openxmlformats.org/officeDocument/2006/relationships/image" Target="../media/image16.emf"/><Relationship Id="rId4" Type="http://schemas.openxmlformats.org/officeDocument/2006/relationships/image" Target="../media/image1.emf"/><Relationship Id="rId9" Type="http://schemas.openxmlformats.org/officeDocument/2006/relationships/image" Target="../media/image6.emf"/><Relationship Id="rId14" Type="http://schemas.openxmlformats.org/officeDocument/2006/relationships/image" Target="../media/image11.emf"/><Relationship Id="rId22" Type="http://schemas.openxmlformats.org/officeDocument/2006/relationships/image" Target="../media/image1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146050</xdr:colOff>
      <xdr:row>7</xdr:row>
      <xdr:rowOff>82550</xdr:rowOff>
    </xdr:from>
    <xdr:to>
      <xdr:col>5</xdr:col>
      <xdr:colOff>590550</xdr:colOff>
      <xdr:row>20</xdr:row>
      <xdr:rowOff>184150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F3E146-2E39-D985-F247-E8BA3FF2D7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692150</xdr:colOff>
      <xdr:row>7</xdr:row>
      <xdr:rowOff>82550</xdr:rowOff>
    </xdr:from>
    <xdr:to>
      <xdr:col>11</xdr:col>
      <xdr:colOff>311150</xdr:colOff>
      <xdr:row>20</xdr:row>
      <xdr:rowOff>184150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9213557-5D2C-ED10-0035-815408DA35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393700</xdr:colOff>
      <xdr:row>7</xdr:row>
      <xdr:rowOff>95250</xdr:rowOff>
    </xdr:from>
    <xdr:to>
      <xdr:col>17</xdr:col>
      <xdr:colOff>12700</xdr:colOff>
      <xdr:row>20</xdr:row>
      <xdr:rowOff>196850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3C125FE-0625-06AD-2BBA-5DECF49E02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736600</xdr:colOff>
      <xdr:row>24</xdr:row>
      <xdr:rowOff>114300</xdr:rowOff>
    </xdr:from>
    <xdr:to>
      <xdr:col>5</xdr:col>
      <xdr:colOff>40449</xdr:colOff>
      <xdr:row>34</xdr:row>
      <xdr:rowOff>38100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9E6C98A-51C7-A23B-66F2-8AEA35D45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62100" y="4991100"/>
          <a:ext cx="2605849" cy="1955800"/>
        </a:xfrm>
        <a:prstGeom prst="rect">
          <a:avLst/>
        </a:prstGeom>
      </xdr:spPr>
    </xdr:pic>
    <xdr:clientData/>
  </xdr:twoCellAnchor>
  <xdr:twoCellAnchor editAs="oneCell">
    <xdr:from>
      <xdr:col>1</xdr:col>
      <xdr:colOff>800100</xdr:colOff>
      <xdr:row>34</xdr:row>
      <xdr:rowOff>39890</xdr:rowOff>
    </xdr:from>
    <xdr:to>
      <xdr:col>5</xdr:col>
      <xdr:colOff>50800</xdr:colOff>
      <xdr:row>43</xdr:row>
      <xdr:rowOff>126999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0C89700-A954-4CBD-4F55-E2466C0C21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25600" y="6948690"/>
          <a:ext cx="2552700" cy="191590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</xdr:row>
      <xdr:rowOff>95486</xdr:rowOff>
    </xdr:from>
    <xdr:to>
      <xdr:col>5</xdr:col>
      <xdr:colOff>38099</xdr:colOff>
      <xdr:row>52</xdr:row>
      <xdr:rowOff>153998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33487E7-C0C4-CF6B-D23B-8CE49F42B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51000" y="8833086"/>
          <a:ext cx="2514599" cy="1887312"/>
        </a:xfrm>
        <a:prstGeom prst="rect">
          <a:avLst/>
        </a:prstGeom>
      </xdr:spPr>
    </xdr:pic>
    <xdr:clientData/>
  </xdr:twoCellAnchor>
  <xdr:twoCellAnchor editAs="oneCell">
    <xdr:from>
      <xdr:col>2</xdr:col>
      <xdr:colOff>50800</xdr:colOff>
      <xdr:row>52</xdr:row>
      <xdr:rowOff>128846</xdr:rowOff>
    </xdr:from>
    <xdr:to>
      <xdr:col>5</xdr:col>
      <xdr:colOff>25400</xdr:colOff>
      <xdr:row>61</xdr:row>
      <xdr:rowOff>139700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BE1F061-92FD-BCF2-8819-6F932595B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01800" y="10695246"/>
          <a:ext cx="2451100" cy="1839654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61</xdr:row>
      <xdr:rowOff>141544</xdr:rowOff>
    </xdr:from>
    <xdr:to>
      <xdr:col>5</xdr:col>
      <xdr:colOff>38100</xdr:colOff>
      <xdr:row>70</xdr:row>
      <xdr:rowOff>152399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C753A60-F96A-4D19-AFDD-6CE8ABF7D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714500" y="12536744"/>
          <a:ext cx="2451100" cy="1839655"/>
        </a:xfrm>
        <a:prstGeom prst="rect">
          <a:avLst/>
        </a:prstGeom>
      </xdr:spPr>
    </xdr:pic>
    <xdr:clientData/>
  </xdr:twoCellAnchor>
  <xdr:twoCellAnchor editAs="oneCell">
    <xdr:from>
      <xdr:col>2</xdr:col>
      <xdr:colOff>88900</xdr:colOff>
      <xdr:row>71</xdr:row>
      <xdr:rowOff>30442</xdr:rowOff>
    </xdr:from>
    <xdr:to>
      <xdr:col>5</xdr:col>
      <xdr:colOff>25400</xdr:colOff>
      <xdr:row>80</xdr:row>
      <xdr:rowOff>12700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A8B2BE9-445A-61FB-43B3-0922E07A7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739900" y="14457642"/>
          <a:ext cx="2413000" cy="1811058"/>
        </a:xfrm>
        <a:prstGeom prst="rect">
          <a:avLst/>
        </a:prstGeom>
      </xdr:spPr>
    </xdr:pic>
    <xdr:clientData/>
  </xdr:twoCellAnchor>
  <xdr:twoCellAnchor editAs="oneCell">
    <xdr:from>
      <xdr:col>5</xdr:col>
      <xdr:colOff>698500</xdr:colOff>
      <xdr:row>24</xdr:row>
      <xdr:rowOff>112869</xdr:rowOff>
    </xdr:from>
    <xdr:to>
      <xdr:col>9</xdr:col>
      <xdr:colOff>38100</xdr:colOff>
      <xdr:row>34</xdr:row>
      <xdr:rowOff>63501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DF67564-2B2A-F0A2-B520-B5E650C48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826000" y="4989669"/>
          <a:ext cx="2641600" cy="1982632"/>
        </a:xfrm>
        <a:prstGeom prst="rect">
          <a:avLst/>
        </a:prstGeom>
      </xdr:spPr>
    </xdr:pic>
    <xdr:clientData/>
  </xdr:twoCellAnchor>
  <xdr:twoCellAnchor editAs="oneCell">
    <xdr:from>
      <xdr:col>5</xdr:col>
      <xdr:colOff>812800</xdr:colOff>
      <xdr:row>34</xdr:row>
      <xdr:rowOff>62068</xdr:rowOff>
    </xdr:from>
    <xdr:to>
      <xdr:col>9</xdr:col>
      <xdr:colOff>38100</xdr:colOff>
      <xdr:row>43</xdr:row>
      <xdr:rowOff>130114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079F9FD-6FFF-F355-2A1A-639F29969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940300" y="6970868"/>
          <a:ext cx="2527300" cy="1896846"/>
        </a:xfrm>
        <a:prstGeom prst="rect">
          <a:avLst/>
        </a:prstGeom>
      </xdr:spPr>
    </xdr:pic>
    <xdr:clientData/>
  </xdr:twoCellAnchor>
  <xdr:twoCellAnchor editAs="oneCell">
    <xdr:from>
      <xdr:col>5</xdr:col>
      <xdr:colOff>800101</xdr:colOff>
      <xdr:row>43</xdr:row>
      <xdr:rowOff>100222</xdr:rowOff>
    </xdr:from>
    <xdr:to>
      <xdr:col>9</xdr:col>
      <xdr:colOff>71944</xdr:colOff>
      <xdr:row>53</xdr:row>
      <xdr:rowOff>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393DB8D-A191-A6D6-C54E-24149EBCC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927601" y="8837822"/>
          <a:ext cx="2573843" cy="1931778"/>
        </a:xfrm>
        <a:prstGeom prst="rect">
          <a:avLst/>
        </a:prstGeom>
      </xdr:spPr>
    </xdr:pic>
    <xdr:clientData/>
  </xdr:twoCellAnchor>
  <xdr:twoCellAnchor editAs="oneCell">
    <xdr:from>
      <xdr:col>6</xdr:col>
      <xdr:colOff>50800</xdr:colOff>
      <xdr:row>52</xdr:row>
      <xdr:rowOff>147828</xdr:rowOff>
    </xdr:from>
    <xdr:to>
      <xdr:col>9</xdr:col>
      <xdr:colOff>25400</xdr:colOff>
      <xdr:row>61</xdr:row>
      <xdr:rowOff>158682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7D1F9AD-71C3-E989-0A5A-47EB03773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003800" y="10714228"/>
          <a:ext cx="2451100" cy="1839654"/>
        </a:xfrm>
        <a:prstGeom prst="rect">
          <a:avLst/>
        </a:prstGeom>
      </xdr:spPr>
    </xdr:pic>
    <xdr:clientData/>
  </xdr:twoCellAnchor>
  <xdr:twoCellAnchor editAs="oneCell">
    <xdr:from>
      <xdr:col>6</xdr:col>
      <xdr:colOff>88900</xdr:colOff>
      <xdr:row>61</xdr:row>
      <xdr:rowOff>152400</xdr:rowOff>
    </xdr:from>
    <xdr:to>
      <xdr:col>8</xdr:col>
      <xdr:colOff>823773</xdr:colOff>
      <xdr:row>70</xdr:row>
      <xdr:rowOff>114299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3D51D60-3A05-4AB2-0083-CBE5D5DDB7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041900" y="12547600"/>
          <a:ext cx="2385873" cy="1790699"/>
        </a:xfrm>
        <a:prstGeom prst="rect">
          <a:avLst/>
        </a:prstGeom>
      </xdr:spPr>
    </xdr:pic>
    <xdr:clientData/>
  </xdr:twoCellAnchor>
  <xdr:twoCellAnchor editAs="oneCell">
    <xdr:from>
      <xdr:col>6</xdr:col>
      <xdr:colOff>107362</xdr:colOff>
      <xdr:row>71</xdr:row>
      <xdr:rowOff>6170</xdr:rowOff>
    </xdr:from>
    <xdr:to>
      <xdr:col>9</xdr:col>
      <xdr:colOff>76199</xdr:colOff>
      <xdr:row>80</xdr:row>
      <xdr:rowOff>12699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4A08640-044D-BE00-AE9B-952260608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060362" y="14433370"/>
          <a:ext cx="2445337" cy="1835329"/>
        </a:xfrm>
        <a:prstGeom prst="rect">
          <a:avLst/>
        </a:prstGeom>
      </xdr:spPr>
    </xdr:pic>
    <xdr:clientData/>
  </xdr:twoCellAnchor>
  <xdr:twoCellAnchor editAs="oneCell">
    <xdr:from>
      <xdr:col>10</xdr:col>
      <xdr:colOff>165099</xdr:colOff>
      <xdr:row>24</xdr:row>
      <xdr:rowOff>97246</xdr:rowOff>
    </xdr:from>
    <xdr:to>
      <xdr:col>13</xdr:col>
      <xdr:colOff>334091</xdr:colOff>
      <xdr:row>34</xdr:row>
      <xdr:rowOff>50800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DCB8A8E7-E90F-028E-D261-EB00726B7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420099" y="4974046"/>
          <a:ext cx="2645492" cy="1985554"/>
        </a:xfrm>
        <a:prstGeom prst="rect">
          <a:avLst/>
        </a:prstGeom>
      </xdr:spPr>
    </xdr:pic>
    <xdr:clientData/>
  </xdr:twoCellAnchor>
  <xdr:twoCellAnchor editAs="oneCell">
    <xdr:from>
      <xdr:col>10</xdr:col>
      <xdr:colOff>152400</xdr:colOff>
      <xdr:row>34</xdr:row>
      <xdr:rowOff>43058</xdr:rowOff>
    </xdr:from>
    <xdr:to>
      <xdr:col>13</xdr:col>
      <xdr:colOff>342900</xdr:colOff>
      <xdr:row>44</xdr:row>
      <xdr:rowOff>12754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73179039-5980-0289-15BA-4D682CC27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407400" y="6951858"/>
          <a:ext cx="2667000" cy="2001696"/>
        </a:xfrm>
        <a:prstGeom prst="rect">
          <a:avLst/>
        </a:prstGeom>
      </xdr:spPr>
    </xdr:pic>
    <xdr:clientData/>
  </xdr:twoCellAnchor>
  <xdr:twoCellAnchor editAs="oneCell">
    <xdr:from>
      <xdr:col>10</xdr:col>
      <xdr:colOff>254000</xdr:colOff>
      <xdr:row>43</xdr:row>
      <xdr:rowOff>154137</xdr:rowOff>
    </xdr:from>
    <xdr:to>
      <xdr:col>13</xdr:col>
      <xdr:colOff>279509</xdr:colOff>
      <xdr:row>53</xdr:row>
      <xdr:rowOff>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CD5A2662-5420-91E2-CE80-C10889194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09000" y="8891737"/>
          <a:ext cx="2502009" cy="1877863"/>
        </a:xfrm>
        <a:prstGeom prst="rect">
          <a:avLst/>
        </a:prstGeom>
      </xdr:spPr>
    </xdr:pic>
    <xdr:clientData/>
  </xdr:twoCellAnchor>
  <xdr:twoCellAnchor editAs="oneCell">
    <xdr:from>
      <xdr:col>10</xdr:col>
      <xdr:colOff>190500</xdr:colOff>
      <xdr:row>52</xdr:row>
      <xdr:rowOff>175872</xdr:rowOff>
    </xdr:from>
    <xdr:to>
      <xdr:col>13</xdr:col>
      <xdr:colOff>254000</xdr:colOff>
      <xdr:row>62</xdr:row>
      <xdr:rowOff>50249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D79AF26-A71B-3229-B963-7078C9690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445500" y="10742272"/>
          <a:ext cx="2540000" cy="1906377"/>
        </a:xfrm>
        <a:prstGeom prst="rect">
          <a:avLst/>
        </a:prstGeom>
      </xdr:spPr>
    </xdr:pic>
    <xdr:clientData/>
  </xdr:twoCellAnchor>
  <xdr:twoCellAnchor editAs="oneCell">
    <xdr:from>
      <xdr:col>10</xdr:col>
      <xdr:colOff>304800</xdr:colOff>
      <xdr:row>61</xdr:row>
      <xdr:rowOff>188186</xdr:rowOff>
    </xdr:from>
    <xdr:to>
      <xdr:col>13</xdr:col>
      <xdr:colOff>330200</xdr:colOff>
      <xdr:row>71</xdr:row>
      <xdr:rowOff>33968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34198D7E-0174-AA8F-E8B2-5EDBBF9BD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59800" y="12583386"/>
          <a:ext cx="2501900" cy="1877782"/>
        </a:xfrm>
        <a:prstGeom prst="rect">
          <a:avLst/>
        </a:prstGeom>
      </xdr:spPr>
    </xdr:pic>
    <xdr:clientData/>
  </xdr:twoCellAnchor>
  <xdr:twoCellAnchor editAs="oneCell">
    <xdr:from>
      <xdr:col>10</xdr:col>
      <xdr:colOff>355600</xdr:colOff>
      <xdr:row>71</xdr:row>
      <xdr:rowOff>7741</xdr:rowOff>
    </xdr:from>
    <xdr:to>
      <xdr:col>13</xdr:col>
      <xdr:colOff>440794</xdr:colOff>
      <xdr:row>80</xdr:row>
      <xdr:rowOff>101601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B6F63746-A541-2B42-06BB-F990E8C9B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8610600" y="14434941"/>
          <a:ext cx="2561694" cy="1922660"/>
        </a:xfrm>
        <a:prstGeom prst="rect">
          <a:avLst/>
        </a:prstGeom>
      </xdr:spPr>
    </xdr:pic>
    <xdr:clientData/>
  </xdr:twoCellAnchor>
  <xdr:twoCellAnchor editAs="oneCell">
    <xdr:from>
      <xdr:col>18</xdr:col>
      <xdr:colOff>188812</xdr:colOff>
      <xdr:row>7</xdr:row>
      <xdr:rowOff>25400</xdr:rowOff>
    </xdr:from>
    <xdr:to>
      <xdr:col>23</xdr:col>
      <xdr:colOff>241300</xdr:colOff>
      <xdr:row>21</xdr:row>
      <xdr:rowOff>177800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1C9810-F2C3-F700-5156-E55E2F55D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5047812" y="1447800"/>
          <a:ext cx="4179988" cy="2997200"/>
        </a:xfrm>
        <a:prstGeom prst="rect">
          <a:avLst/>
        </a:prstGeom>
      </xdr:spPr>
    </xdr:pic>
    <xdr:clientData/>
  </xdr:twoCellAnchor>
  <xdr:twoCellAnchor editAs="oneCell">
    <xdr:from>
      <xdr:col>18</xdr:col>
      <xdr:colOff>203200</xdr:colOff>
      <xdr:row>21</xdr:row>
      <xdr:rowOff>190500</xdr:rowOff>
    </xdr:from>
    <xdr:to>
      <xdr:col>23</xdr:col>
      <xdr:colOff>221369</xdr:colOff>
      <xdr:row>37</xdr:row>
      <xdr:rowOff>50800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9E4A4018-0A7C-F4AA-9628-20F5BB1A1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5062200" y="4457700"/>
          <a:ext cx="4145669" cy="3111500"/>
        </a:xfrm>
        <a:prstGeom prst="rect">
          <a:avLst/>
        </a:prstGeom>
      </xdr:spPr>
    </xdr:pic>
    <xdr:clientData/>
  </xdr:twoCellAnchor>
  <xdr:twoCellAnchor editAs="oneCell">
    <xdr:from>
      <xdr:col>26</xdr:col>
      <xdr:colOff>609600</xdr:colOff>
      <xdr:row>22</xdr:row>
      <xdr:rowOff>26309</xdr:rowOff>
    </xdr:from>
    <xdr:to>
      <xdr:col>31</xdr:col>
      <xdr:colOff>575796</xdr:colOff>
      <xdr:row>37</xdr:row>
      <xdr:rowOff>50801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AB01EB3B-1518-AA3F-05E6-B754A7066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2072600" y="4496709"/>
          <a:ext cx="4093696" cy="3072492"/>
        </a:xfrm>
        <a:prstGeom prst="rect">
          <a:avLst/>
        </a:prstGeom>
      </xdr:spPr>
    </xdr:pic>
    <xdr:clientData/>
  </xdr:twoCellAnchor>
  <xdr:twoCellAnchor editAs="oneCell">
    <xdr:from>
      <xdr:col>26</xdr:col>
      <xdr:colOff>565736</xdr:colOff>
      <xdr:row>6</xdr:row>
      <xdr:rowOff>203199</xdr:rowOff>
    </xdr:from>
    <xdr:to>
      <xdr:col>31</xdr:col>
      <xdr:colOff>516222</xdr:colOff>
      <xdr:row>22</xdr:row>
      <xdr:rowOff>12700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3EB098BB-6698-A037-85D0-6AD118B4FF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2028736" y="1422399"/>
          <a:ext cx="4077986" cy="30607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7F92F-6776-B24A-A9FC-F25929B0C563}">
  <dimension ref="A1:Z30"/>
  <sheetViews>
    <sheetView tabSelected="1" topLeftCell="O4" workbookViewId="0">
      <selection activeCell="Y23" sqref="Y23"/>
    </sheetView>
  </sheetViews>
  <sheetFormatPr baseColWidth="10" defaultRowHeight="16" x14ac:dyDescent="0.2"/>
  <sheetData>
    <row r="1" spans="1:26" x14ac:dyDescent="0.2">
      <c r="A1" t="s">
        <v>0</v>
      </c>
      <c r="B1" t="s">
        <v>1</v>
      </c>
      <c r="C1" t="s">
        <v>2</v>
      </c>
      <c r="D1" t="s">
        <v>3</v>
      </c>
    </row>
    <row r="2" spans="1:26" x14ac:dyDescent="0.2">
      <c r="A2">
        <v>0.25</v>
      </c>
      <c r="B2">
        <v>55.93</v>
      </c>
      <c r="C2">
        <v>38.67</v>
      </c>
      <c r="D2">
        <v>0.20382500000000001</v>
      </c>
    </row>
    <row r="3" spans="1:26" x14ac:dyDescent="0.2">
      <c r="A3">
        <v>0.375</v>
      </c>
      <c r="B3">
        <v>55.32</v>
      </c>
      <c r="C3">
        <v>37.799999999999997</v>
      </c>
      <c r="D3">
        <v>0.20455499999999999</v>
      </c>
    </row>
    <row r="4" spans="1:26" x14ac:dyDescent="0.2">
      <c r="A4">
        <v>0.5</v>
      </c>
      <c r="B4">
        <v>54.11</v>
      </c>
      <c r="C4">
        <v>36.020000000000003</v>
      </c>
      <c r="D4">
        <v>0.20483499999999999</v>
      </c>
    </row>
    <row r="5" spans="1:26" x14ac:dyDescent="0.2">
      <c r="A5">
        <v>0.625</v>
      </c>
      <c r="B5">
        <v>55.52</v>
      </c>
      <c r="C5">
        <v>37.31</v>
      </c>
      <c r="D5">
        <v>0.20890300000000001</v>
      </c>
      <c r="I5" t="s">
        <v>8</v>
      </c>
      <c r="J5">
        <f>100-C4/C2*100</f>
        <v>6.8528575122834212</v>
      </c>
      <c r="K5" t="s">
        <v>7</v>
      </c>
    </row>
    <row r="6" spans="1:26" x14ac:dyDescent="0.2">
      <c r="A6">
        <v>0.75</v>
      </c>
      <c r="B6">
        <v>58.85</v>
      </c>
      <c r="C6">
        <v>39.31</v>
      </c>
      <c r="D6">
        <v>0.21549199999999999</v>
      </c>
      <c r="S6" t="s">
        <v>9</v>
      </c>
    </row>
    <row r="13" spans="1:26" x14ac:dyDescent="0.2">
      <c r="Y13" t="s">
        <v>10</v>
      </c>
      <c r="Z13">
        <v>0.3</v>
      </c>
    </row>
    <row r="24" spans="4:26" x14ac:dyDescent="0.2">
      <c r="D24" t="s">
        <v>4</v>
      </c>
      <c r="H24" t="s">
        <v>5</v>
      </c>
      <c r="L24" t="s">
        <v>6</v>
      </c>
    </row>
    <row r="30" spans="4:26" x14ac:dyDescent="0.2">
      <c r="Y30" t="s">
        <v>10</v>
      </c>
      <c r="Z30">
        <v>0.01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Tijs Willy Alleman</dc:creator>
  <cp:lastModifiedBy>Tijs Willy Alleman</cp:lastModifiedBy>
  <dcterms:created xsi:type="dcterms:W3CDTF">2026-08-24T14:06:25Z</dcterms:created>
  <dcterms:modified xsi:type="dcterms:W3CDTF">2026-09-01T19:53:15Z</dcterms:modified>
</cp:coreProperties>
</file>